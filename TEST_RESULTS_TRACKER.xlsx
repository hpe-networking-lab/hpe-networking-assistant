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Results" sheetId="2" state="visible" r:id="rId4"/>
  </sheets>
  <definedNames>
    <definedName function="false" hidden="true" localSheetId="1" name="_xlnm._FilterDatabase" vbProcedure="false">'Test Results'!$A$1:$H$90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<sst xmlns="http://schemas.openxmlformats.org/spreadsheetml/2006/main" count="378" uniqueCount="299">
  <si>
    <t xml:space="preserve">HPE Networking Assistant — Test Results Summary</t>
  </si>
  <si>
    <t xml:space="preserve">Product version</t>
  </si>
  <si>
    <t xml:space="preserve">1.8.0</t>
  </si>
  <si>
    <t xml:space="preserve">Tester</t>
  </si>
  <si>
    <t xml:space="preserve">Date</t>
  </si>
  <si>
    <t xml:space="preserve">Environment</t>
  </si>
  <si>
    <t xml:space="preserve">This Windows PC</t>
  </si>
  <si>
    <t xml:space="preserve">Total test cases</t>
  </si>
  <si>
    <t xml:space="preserve">Pass</t>
  </si>
  <si>
    <t xml:space="preserve">Fail</t>
  </si>
  <si>
    <t xml:space="preserve">Blocked</t>
  </si>
  <si>
    <t xml:space="preserve">N/A</t>
  </si>
  <si>
    <t xml:space="preserve">Not run</t>
  </si>
  <si>
    <t xml:space="preserve">% executed</t>
  </si>
  <si>
    <t xml:space="preserve">ID</t>
  </si>
  <si>
    <t xml:space="preserve">Section</t>
  </si>
  <si>
    <t xml:space="preserve">Objective</t>
  </si>
  <si>
    <t xml:space="preserve">Expected Result</t>
  </si>
  <si>
    <t xml:space="preserve">Result</t>
  </si>
  <si>
    <t xml:space="preserve">Notes</t>
  </si>
  <si>
    <t xml:space="preserve">P1</t>
  </si>
  <si>
    <t xml:space="preserve">Prerequisites</t>
  </si>
  <si>
    <t xml:space="preserve">Python 3.10+ installed</t>
  </si>
  <si>
    <t xml:space="preserve">python --version shows 3.10+</t>
  </si>
  <si>
    <t xml:space="preserve">P2</t>
  </si>
  <si>
    <t xml:space="preserve">Claude Desktop installed</t>
  </si>
  <si>
    <t xml:space="preserve">Launches</t>
  </si>
  <si>
    <t xml:space="preserve">P3</t>
  </si>
  <si>
    <t xml:space="preserve">Mist API token created</t>
  </si>
  <si>
    <t xml:space="preserve">Token copied (Observer for read; Network Admin for write)</t>
  </si>
  <si>
    <t xml:space="preserve">P4</t>
  </si>
  <si>
    <t xml:space="preserve">Git installed (dev path, optional)</t>
  </si>
  <si>
    <t xml:space="preserve">git --version works</t>
  </si>
  <si>
    <t xml:space="preserve">A1</t>
  </si>
  <si>
    <t xml:space="preserve">Automated</t>
  </si>
  <si>
    <t xml:space="preserve">pip install -e ".[dev]"</t>
  </si>
  <si>
    <t xml:space="preserve">Installs with no errors</t>
  </si>
  <si>
    <t xml:space="preserve">A2</t>
  </si>
  <si>
    <t xml:space="preserve">Run pytest -q</t>
  </si>
  <si>
    <t xml:space="preserve">95 passed</t>
  </si>
  <si>
    <t xml:space="preserve">A3</t>
  </si>
  <si>
    <t xml:space="preserve">python -m compileall src server</t>
  </si>
  <si>
    <t xml:space="preserve">No errors</t>
  </si>
  <si>
    <t xml:space="preserve">A4</t>
  </si>
  <si>
    <t xml:space="preserve">Validate manifest.json</t>
  </si>
  <si>
    <t xml:space="preserve">Loads as valid JSON</t>
  </si>
  <si>
    <t xml:space="preserve">INST-1</t>
  </si>
  <si>
    <t xml:space="preserve">Installation</t>
  </si>
  <si>
    <t xml:space="preserve">Download .dxt from latest release</t>
  </si>
  <si>
    <t xml:space="preserve">File downloads</t>
  </si>
  <si>
    <t xml:space="preserve">INST-2</t>
  </si>
  <si>
    <t xml:space="preserve">Verify SHA-256 vs SHA256SUMS.txt</t>
  </si>
  <si>
    <t xml:space="preserve">Matches</t>
  </si>
  <si>
    <t xml:space="preserve">INST-3</t>
  </si>
  <si>
    <t xml:space="preserve">Install .dxt in Claude Desktop</t>
  </si>
  <si>
    <t xml:space="preserve">Details + config form appear</t>
  </si>
  <si>
    <t xml:space="preserve">INST-4</t>
  </si>
  <si>
    <t xml:space="preserve">Config form is token-only</t>
  </si>
  <si>
    <t xml:space="preserve">Only API token + write toggle; no region/org fields</t>
  </si>
  <si>
    <t xml:space="preserve">INST-5</t>
  </si>
  <si>
    <t xml:space="preserve">Enter token, write off, enable</t>
  </si>
  <si>
    <t xml:space="preserve">Enables without error</t>
  </si>
  <si>
    <t xml:space="preserve">INST-6</t>
  </si>
  <si>
    <t xml:space="preserve">Token stored in OS keychain</t>
  </si>
  <si>
    <t xml:space="preserve">Not shown again in plain text</t>
  </si>
  <si>
    <t xml:space="preserve">INST-7</t>
  </si>
  <si>
    <t xml:space="preserve">Install to first query time</t>
  </si>
  <si>
    <t xml:space="preserve">Under 10 minutes</t>
  </si>
  <si>
    <t xml:space="preserve">ONB-1</t>
  </si>
  <si>
    <t xml:space="preserve">Onboarding</t>
  </si>
  <si>
    <t xml:space="preserve">'Set me up' runs start_setup</t>
  </si>
  <si>
    <t xml:space="preserve">READY FOR USE report</t>
  </si>
  <si>
    <t xml:space="preserve">ONB-2</t>
  </si>
  <si>
    <t xml:space="preserve">Region auto-detected</t>
  </si>
  <si>
    <t xml:space="preserve">Correct region; not entered manually</t>
  </si>
  <si>
    <t xml:space="preserve">ONB-3</t>
  </si>
  <si>
    <t xml:space="preserve">No IDs required</t>
  </si>
  <si>
    <t xml:space="preserve">Never asked for Org/Site ID or endpoint</t>
  </si>
  <si>
    <t xml:space="preserve">ONB-4</t>
  </si>
  <si>
    <t xml:space="preserve">Multi-org prompt by name</t>
  </si>
  <si>
    <t xml:space="preserve">Lists orgs by name; pick by name completes setup</t>
  </si>
  <si>
    <t xml:space="preserve">ONB-5</t>
  </si>
  <si>
    <t xml:space="preserve">Persistence after restart</t>
  </si>
  <si>
    <t xml:space="preserve">Region/org remembered</t>
  </si>
  <si>
    <t xml:space="preserve">RO-1</t>
  </si>
  <si>
    <t xml:space="preserve">Read-only</t>
  </si>
  <si>
    <t xml:space="preserve">get_status</t>
  </si>
  <si>
    <t xml:space="preserve">Reports read-only, region, org, account</t>
  </si>
  <si>
    <t xml:space="preserve">RO-2</t>
  </si>
  <si>
    <t xml:space="preserve">get_organizations</t>
  </si>
  <si>
    <t xml:space="preserve">Lists org name(s)</t>
  </si>
  <si>
    <t xml:space="preserve">RO-3</t>
  </si>
  <si>
    <t xml:space="preserve">get_sites</t>
  </si>
  <si>
    <t xml:space="preserve">Site names + locations</t>
  </si>
  <si>
    <t xml:space="preserve">RO-4</t>
  </si>
  <si>
    <t xml:space="preserve">get_access_points ('Show all APs')</t>
  </si>
  <si>
    <t xml:space="preserve">AP list w/ online/offline counts</t>
  </si>
  <si>
    <t xml:space="preserve">RO-5</t>
  </si>
  <si>
    <t xml:space="preserve">get_access_points by site</t>
  </si>
  <si>
    <t xml:space="preserve">APs filtered to that site</t>
  </si>
  <si>
    <t xml:space="preserve">RO-6</t>
  </si>
  <si>
    <t xml:space="preserve">get_switches</t>
  </si>
  <si>
    <t xml:space="preserve">Switch list w/ status</t>
  </si>
  <si>
    <t xml:space="preserve">RO-7</t>
  </si>
  <si>
    <t xml:space="preserve">get_clients</t>
  </si>
  <si>
    <t xml:space="preserve">Client count/list at site</t>
  </si>
  <si>
    <t xml:space="preserve">RO-8</t>
  </si>
  <si>
    <t xml:space="preserve">get_offline_access_points</t>
  </si>
  <si>
    <t xml:space="preserve">Offline AP list matches portal</t>
  </si>
  <si>
    <t xml:space="preserve">RO-9</t>
  </si>
  <si>
    <t xml:space="preserve">Cross-check counts vs portal</t>
  </si>
  <si>
    <t xml:space="preserve">Numbers match</t>
  </si>
  <si>
    <t xml:space="preserve">RO-10</t>
  </si>
  <si>
    <t xml:space="preserve">get_wired_clients</t>
  </si>
  <si>
    <t xml:space="preserve">Wired clients: switch MAC, port, VLAN, IP, vendor</t>
  </si>
  <si>
    <t xml:space="preserve">RO-11</t>
  </si>
  <si>
    <t xml:space="preserve">get_marvis_actions</t>
  </si>
  <si>
    <t xml:space="preserve">Marvis actions + fixes; per-category counts; status=open filters</t>
  </si>
  <si>
    <t xml:space="preserve">RO-12</t>
  </si>
  <si>
    <t xml:space="preserve">get_alarms</t>
  </si>
  <si>
    <t xml:space="preserve">Alarms with per-severity/per-type counts</t>
  </si>
  <si>
    <t xml:space="preserve">RO-13</t>
  </si>
  <si>
    <t xml:space="preserve">get_sle</t>
  </si>
  <si>
    <t xml:space="preserve">Per-site SLE metrics as percentages</t>
  </si>
  <si>
    <t xml:space="preserve">RO-14</t>
  </si>
  <si>
    <t xml:space="preserve">get_switch_ports</t>
  </si>
  <si>
    <t xml:space="preserve">Port link/speed/PoE/neighbor; filter by switch/site/up</t>
  </si>
  <si>
    <t xml:space="preserve">RO-15</t>
  </si>
  <si>
    <t xml:space="preserve">export_org_config</t>
  </si>
  <si>
    <t xml:space="preserve">JSON config backup (org+sites/networks/templates/WLANs/NAC); per-type counts</t>
  </si>
  <si>
    <t xml:space="preserve">RO-16</t>
  </si>
  <si>
    <t xml:space="preserve">set_active_org</t>
  </si>
  <si>
    <t xml:space="preserve">Active org set by name; later tools target it</t>
  </si>
  <si>
    <t xml:space="preserve">RO-17</t>
  </si>
  <si>
    <t xml:space="preserve">diff_org_config</t>
  </si>
  <si>
    <t xml:space="preserve">Added/removed/changed per resource type vs saved backup</t>
  </si>
  <si>
    <t xml:space="preserve">RPT-1</t>
  </si>
  <si>
    <t xml:space="preserve">Reports</t>
  </si>
  <si>
    <t xml:space="preserve">generate_health_report + save</t>
  </si>
  <si>
    <t xml:space="preserve">Markdown report saved as .md</t>
  </si>
  <si>
    <t xml:space="preserve">RPT-2</t>
  </si>
  <si>
    <t xml:space="preserve">Health report accuracy</t>
  </si>
  <si>
    <t xml:space="preserve">Counts match RO-4/6/8</t>
  </si>
  <si>
    <t xml:space="preserve">RPT-3</t>
  </si>
  <si>
    <t xml:space="preserve">Health report skip clients</t>
  </si>
  <si>
    <t xml:space="preserve">Notes clients 'not collected'</t>
  </si>
  <si>
    <t xml:space="preserve">RPT-4</t>
  </si>
  <si>
    <t xml:space="preserve">generate_inventory_report</t>
  </si>
  <si>
    <t xml:space="preserve">Full AP+switch table</t>
  </si>
  <si>
    <t xml:space="preserve">RPT-5</t>
  </si>
  <si>
    <t xml:space="preserve">Convert report to PDF</t>
  </si>
  <si>
    <t xml:space="preserve">PDF produced from Markdown</t>
  </si>
  <si>
    <t xml:space="preserve">RPT-6</t>
  </si>
  <si>
    <t xml:space="preserve">generate_firmware_report</t>
  </si>
  <si>
    <t xml:space="preserve">Per-model target version + devices behind it</t>
  </si>
  <si>
    <t xml:space="preserve">RPT-7</t>
  </si>
  <si>
    <t xml:space="preserve">generate_topology</t>
  </si>
  <si>
    <t xml:space="preserve">Per-site Mermaid topology (gw/switch/AP via LLDP) + counts</t>
  </si>
  <si>
    <t xml:space="preserve">CT-1</t>
  </si>
  <si>
    <t xml:space="preserve">Client trace</t>
  </si>
  <si>
    <t xml:space="preserve">find_client by MAC</t>
  </si>
  <si>
    <t xml:space="preserve">Site, AP, SSID, IP, band, RSSI, last seen</t>
  </si>
  <si>
    <t xml:space="preserve">CT-2</t>
  </si>
  <si>
    <t xml:space="preserve">find_client by hostname</t>
  </si>
  <si>
    <t xml:space="preserve">Matching client(s) located</t>
  </si>
  <si>
    <t xml:space="preserve">CT-3</t>
  </si>
  <si>
    <t xml:space="preserve">trace_client</t>
  </si>
  <si>
    <t xml:space="preserve">Event timeline, type counts, failures</t>
  </si>
  <si>
    <t xml:space="preserve">CT-4</t>
  </si>
  <si>
    <t xml:space="preserve">find_client no-input guard</t>
  </si>
  <si>
    <t xml:space="preserve">Friendly error asking for mac/hostname</t>
  </si>
  <si>
    <t xml:space="preserve">AA-1</t>
  </si>
  <si>
    <t xml:space="preserve">Access Assurance</t>
  </si>
  <si>
    <t xml:space="preserve">get_nac_clients</t>
  </si>
  <si>
    <t xml:space="preserve">NAC clients listed (empty if no NAC)</t>
  </si>
  <si>
    <t xml:space="preserve">AA-2</t>
  </si>
  <si>
    <t xml:space="preserve">Filter EAP-TLS</t>
  </si>
  <si>
    <t xml:space="preserve">Filtered list</t>
  </si>
  <si>
    <t xml:space="preserve">AA-3</t>
  </si>
  <si>
    <t xml:space="preserve">troubleshoot_authentication</t>
  </si>
  <si>
    <t xml:space="preserve">Timeline, type counts, failure highlights</t>
  </si>
  <si>
    <t xml:space="preserve">AA-4</t>
  </si>
  <si>
    <t xml:space="preserve">Auth focus by client MAC</t>
  </si>
  <si>
    <t xml:space="preserve">Events scoped to that MAC</t>
  </si>
  <si>
    <t xml:space="preserve">AA-5</t>
  </si>
  <si>
    <t xml:space="preserve">Auth focus by user (username/cert CN)</t>
  </si>
  <si>
    <t xml:space="preserve">Events scoped to that identity (free-text); failures highlighted</t>
  </si>
  <si>
    <t xml:space="preserve">NAC-1</t>
  </si>
  <si>
    <t xml:space="preserve">NAC dashboard</t>
  </si>
  <si>
    <t xml:space="preserve">generate_nac_dashboard + save HTML</t>
  </si>
  <si>
    <t xml:space="preserve">Self-contained .html produced</t>
  </si>
  <si>
    <t xml:space="preserve">NAC-2</t>
  </si>
  <si>
    <t xml:space="preserve">Open HTML offline</t>
  </si>
  <si>
    <t xml:space="preserve">Renders w/o internet</t>
  </si>
  <si>
    <t xml:space="preserve">NAC-3</t>
  </si>
  <si>
    <t xml:space="preserve">Dashboard content</t>
  </si>
  <si>
    <t xml:space="preserve">Cards + charts present</t>
  </si>
  <si>
    <t xml:space="preserve">NAC-4</t>
  </si>
  <si>
    <t xml:space="preserve">Empty-state (no NAC)</t>
  </si>
  <si>
    <t xml:space="preserve">Zeros/'No data', no error</t>
  </si>
  <si>
    <t xml:space="preserve">CD-1</t>
  </si>
  <si>
    <t xml:space="preserve">Companion dashboards</t>
  </si>
  <si>
    <t xml:space="preserve">Open Network/NAC dashboard artifact</t>
  </si>
  <si>
    <t xml:space="preserve">Device doughnut + cards load from live data</t>
  </si>
  <si>
    <t xml:space="preserve">CD-2</t>
  </si>
  <si>
    <t xml:space="preserve">Auto-refresh ~30s</t>
  </si>
  <si>
    <t xml:space="preserve">Updates on its own; last-updated advances; live dot</t>
  </si>
  <si>
    <t xml:space="preserve">CD-3</t>
  </si>
  <si>
    <t xml:space="preserve">NAC empty-state</t>
  </si>
  <si>
    <t xml:space="preserve">Shows 'not configured' rather than erroring</t>
  </si>
  <si>
    <t xml:space="preserve">CD-4</t>
  </si>
  <si>
    <t xml:space="preserve">Open NAC Auth Debugger artifact</t>
  </si>
  <si>
    <t xml:space="preserve">Loads with input + time-window controls</t>
  </si>
  <si>
    <t xml:space="preserve">CD-5</t>
  </si>
  <si>
    <t xml:space="preserve">Debug by username</t>
  </si>
  <si>
    <t xml:space="preserve">Pulls identity's NAC events; pass/fail counts; timeline</t>
  </si>
  <si>
    <t xml:space="preserve">CD-6</t>
  </si>
  <si>
    <t xml:space="preserve">Debug by MAC</t>
  </si>
  <si>
    <t xml:space="preserve">Auto-routes to MAC filter; events returned</t>
  </si>
  <si>
    <t xml:space="preserve">CD-7</t>
  </si>
  <si>
    <t xml:space="preserve">Failure decode</t>
  </si>
  <si>
    <t xml:space="preserve">Most-recent-failure card: reason, rule, auth type, NAS</t>
  </si>
  <si>
    <t xml:space="preserve">CD-8</t>
  </si>
  <si>
    <t xml:space="preserve">Explain hand-off</t>
  </si>
  <si>
    <t xml:space="preserve">Sends failure detail to chat as a prompt</t>
  </si>
  <si>
    <t xml:space="preserve">WR-1</t>
  </si>
  <si>
    <t xml:space="preserve">Write mode (LAB)</t>
  </si>
  <si>
    <t xml:space="preserve">Enable write operations</t>
  </si>
  <si>
    <t xml:space="preserve">Extension restarts</t>
  </si>
  <si>
    <t xml:space="preserve">WR-2</t>
  </si>
  <si>
    <t xml:space="preserve">Write tools appear</t>
  </si>
  <si>
    <t xml:space="preserve">5 write tools available</t>
  </si>
  <si>
    <t xml:space="preserve">WR-3</t>
  </si>
  <si>
    <t xml:space="preserve">Write-readiness via get_status</t>
  </si>
  <si>
    <t xml:space="preserve">Reports token write capability + guidance</t>
  </si>
  <si>
    <t xml:space="preserve">WR-4</t>
  </si>
  <si>
    <t xml:space="preserve">Confirmation gate</t>
  </si>
  <si>
    <t xml:space="preserve">Asks to confirm; nothing changes until yes</t>
  </si>
  <si>
    <t xml:space="preserve">WR-5</t>
  </si>
  <si>
    <t xml:space="preserve">rename_device</t>
  </si>
  <si>
    <t xml:space="preserve">Renamed (verify portal); revert</t>
  </si>
  <si>
    <t xml:space="preserve">WR-6</t>
  </si>
  <si>
    <t xml:space="preserve">locate_device LED</t>
  </si>
  <si>
    <t xml:space="preserve">LED toggles</t>
  </si>
  <si>
    <t xml:space="preserve">WR-7</t>
  </si>
  <si>
    <t xml:space="preserve">reboot_device (disruptive)</t>
  </si>
  <si>
    <t xml:space="preserve">Lab device restarts</t>
  </si>
  <si>
    <t xml:space="preserve">WR-8</t>
  </si>
  <si>
    <t xml:space="preserve">Read-only token blocked</t>
  </si>
  <si>
    <t xml:space="preserve">Mist permission error + guidance</t>
  </si>
  <si>
    <t xml:space="preserve">WR-9</t>
  </si>
  <si>
    <t xml:space="preserve">Disable write mode</t>
  </si>
  <si>
    <t xml:space="preserve">Write tools no longer offered</t>
  </si>
  <si>
    <t xml:space="preserve">VAL-1</t>
  </si>
  <si>
    <t xml:space="preserve">Validation CLI</t>
  </si>
  <si>
    <t xml:space="preserve">hpe-mist-validate</t>
  </si>
  <si>
    <t xml:space="preserve">Per-check results; READY FOR USE</t>
  </si>
  <si>
    <t xml:space="preserve">VAL-2</t>
  </si>
  <si>
    <t xml:space="preserve">Validate bad token</t>
  </si>
  <si>
    <t xml:space="preserve">REQUIRES ATTENTION; auth fails clearly</t>
  </si>
  <si>
    <t xml:space="preserve">VAL-3</t>
  </si>
  <si>
    <t xml:space="preserve">hpe-mist-setup CLI</t>
  </si>
  <si>
    <t xml:space="preserve">Auto region, discover, save, validate</t>
  </si>
  <si>
    <t xml:space="preserve">NEG-1</t>
  </si>
  <si>
    <t xml:space="preserve">Negative</t>
  </si>
  <si>
    <t xml:space="preserve">Invalid token onboarding</t>
  </si>
  <si>
    <t xml:space="preserve">'Could not validate token' + guidance</t>
  </si>
  <si>
    <t xml:space="preserve">NEG-2</t>
  </si>
  <si>
    <t xml:space="preserve">No org access</t>
  </si>
  <si>
    <t xml:space="preserve">Clear 'no organization access'</t>
  </si>
  <si>
    <t xml:space="preserve">NEG-3</t>
  </si>
  <si>
    <t xml:space="preserve">Multi-org ambiguity</t>
  </si>
  <si>
    <t xml:space="preserve">Asks which org by name</t>
  </si>
  <si>
    <t xml:space="preserve">NEG-4</t>
  </si>
  <si>
    <t xml:space="preserve">Empty results (no devices)</t>
  </si>
  <si>
    <t xml:space="preserve">Zero counts, no crash</t>
  </si>
  <si>
    <t xml:space="preserve">NEG-5</t>
  </si>
  <si>
    <t xml:space="preserve">Write attempt while read-only mode</t>
  </si>
  <si>
    <t xml:space="preserve">Tool unavailable; explains how to enable</t>
  </si>
  <si>
    <t xml:space="preserve">UPG-1</t>
  </si>
  <si>
    <t xml:space="preserve">Upgrade</t>
  </si>
  <si>
    <t xml:space="preserve">Install newer .dxt</t>
  </si>
  <si>
    <t xml:space="preserve">Replaces version; config preserved</t>
  </si>
  <si>
    <t xml:space="preserve">UPG-2</t>
  </si>
  <si>
    <t xml:space="preserve">New tools present</t>
  </si>
  <si>
    <t xml:space="preserve">Work without reconfig</t>
  </si>
  <si>
    <t xml:space="preserve">SC-1</t>
  </si>
  <si>
    <t xml:space="preserve">Success criteria</t>
  </si>
  <si>
    <t xml:space="preserve">'Show all APs' with no manual API config</t>
  </si>
  <si>
    <t xml:space="preserve">Works</t>
  </si>
  <si>
    <t xml:space="preserve">SC-2</t>
  </si>
  <si>
    <t xml:space="preserve">Install + first query under 10 min</t>
  </si>
  <si>
    <t xml:space="preserve">Yes</t>
  </si>
  <si>
    <t xml:space="preserve">SC-3</t>
  </si>
  <si>
    <t xml:space="preserve">No Org/Site ID or endpoint needed</t>
  </si>
  <si>
    <t xml:space="preserve">SC-4</t>
  </si>
  <si>
    <t xml:space="preserve">Read-only default; write opt-in + confirm</t>
  </si>
  <si>
    <t xml:space="preserve">SC-5</t>
  </si>
  <si>
    <t xml:space="preserve">Automated suite 95 passed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</si>
</sst>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  <c r="B6" s="0" t="s">
        <v>6</v>
      </c>
    </row>
    <row r="9" customFormat="false" ht="15" hidden="false" customHeight="false" outlineLevel="0" collapsed="false">
      <c r="A9" s="2" t="s">
        <v>7</v>
      </c>
      <c r="B9" s="3" t="n">
        <f aca="false">COUNTA('Test Results'!A2:A90)</f>
        <v>89</v>
      </c>
    </row>
    <row r="10" customFormat="false" ht="15" hidden="false" customHeight="false" outlineLevel="0" collapsed="false">
      <c r="A10" s="2" t="s">
        <v>8</v>
      </c>
      <c r="B10" s="3" t="n">
        <f aca="false">COUNTIF('Test Results'!E2:E90,"Pass")</f>
        <v>0</v>
      </c>
    </row>
    <row r="11" customFormat="false" ht="15" hidden="false" customHeight="false" outlineLevel="0" collapsed="false">
      <c r="A11" s="2" t="s">
        <v>9</v>
      </c>
      <c r="B11" s="3" t="n">
        <f aca="false">COUNTIF('Test Results'!E2:E90,"Fail")</f>
        <v>0</v>
      </c>
    </row>
    <row r="12" customFormat="false" ht="15" hidden="false" customHeight="false" outlineLevel="0" collapsed="false">
      <c r="A12" s="2" t="s">
        <v>10</v>
      </c>
      <c r="B12" s="3" t="n">
        <f aca="false">COUNTIF('Test Results'!E2:E90,"Blocked")</f>
        <v>0</v>
      </c>
    </row>
    <row r="13" customFormat="false" ht="15" hidden="false" customHeight="false" outlineLevel="0" collapsed="false">
      <c r="A13" s="2" t="s">
        <v>11</v>
      </c>
      <c r="B13" s="3" t="n">
        <f aca="false">COUNTIF('Test Results'!E2:E90,"N/A")</f>
        <v>0</v>
      </c>
    </row>
    <row r="14" customFormat="false" ht="15" hidden="false" customHeight="false" outlineLevel="0" collapsed="false">
      <c r="A14" s="2" t="s">
        <v>12</v>
      </c>
      <c r="B14" s="3" t="n">
        <f aca="false">B9-(B10+B11+B12+B13)</f>
        <v>89</v>
      </c>
    </row>
    <row r="15" customFormat="false" ht="15" hidden="false" customHeight="false" outlineLevel="0" collapsed="false">
      <c r="A15" s="2" t="s">
        <v>13</v>
      </c>
      <c r="B15" s="4" t="n">
        <f aca="false">IF(B9=0,0,(B10+B11+B12)/B9)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5" t="s">
        <v>14</v>
      </c>
      <c r="B1" s="5" t="s">
        <v>15</v>
      </c>
      <c r="C1" s="6" t="s">
        <v>16</v>
      </c>
      <c r="D1" s="6" t="s">
        <v>17</v>
      </c>
      <c r="E1" s="5" t="s">
        <v>18</v>
      </c>
      <c r="F1" s="5" t="s">
        <v>3</v>
      </c>
      <c r="G1" s="5" t="s">
        <v>4</v>
      </c>
      <c r="H1" s="6" t="s">
        <v>19</v>
      </c>
    </row>
    <row r="2" customFormat="false" ht="15" hidden="false" customHeight="false" outlineLevel="0" collapsed="false">
      <c r="A2" s="7" t="s">
        <v>20</v>
      </c>
      <c r="B2" s="7" t="s">
        <v>21</v>
      </c>
      <c r="C2" s="8" t="s">
        <v>22</v>
      </c>
      <c r="D2" s="8" t="s">
        <v>23</v>
      </c>
      <c r="E2" s="7"/>
      <c r="F2" s="7"/>
      <c r="G2" s="7"/>
      <c r="H2" s="8"/>
    </row>
    <row r="3" customFormat="false" ht="15" hidden="false" customHeight="false" outlineLevel="0" collapsed="false">
      <c r="A3" s="7" t="s">
        <v>24</v>
      </c>
      <c r="B3" s="7" t="s">
        <v>21</v>
      </c>
      <c r="C3" s="8" t="s">
        <v>25</v>
      </c>
      <c r="D3" s="8" t="s">
        <v>26</v>
      </c>
      <c r="E3" s="7"/>
      <c r="F3" s="7"/>
      <c r="G3" s="7"/>
      <c r="H3" s="8"/>
    </row>
    <row r="4" customFormat="false" ht="26.85" hidden="false" customHeight="false" outlineLevel="0" collapsed="false">
      <c r="A4" s="7" t="s">
        <v>27</v>
      </c>
      <c r="B4" s="7" t="s">
        <v>21</v>
      </c>
      <c r="C4" s="8" t="s">
        <v>28</v>
      </c>
      <c r="D4" s="8" t="s">
        <v>29</v>
      </c>
      <c r="E4" s="7"/>
      <c r="F4" s="7"/>
      <c r="G4" s="7"/>
      <c r="H4" s="8"/>
    </row>
    <row r="5" customFormat="false" ht="15" hidden="false" customHeight="false" outlineLevel="0" collapsed="false">
      <c r="A5" s="7" t="s">
        <v>30</v>
      </c>
      <c r="B5" s="7" t="s">
        <v>21</v>
      </c>
      <c r="C5" s="8" t="s">
        <v>31</v>
      </c>
      <c r="D5" s="8" t="s">
        <v>32</v>
      </c>
      <c r="E5" s="7"/>
      <c r="F5" s="7"/>
      <c r="G5" s="7"/>
      <c r="H5" s="8"/>
    </row>
    <row r="6" customFormat="false" ht="15" hidden="false" customHeight="false" outlineLevel="0" collapsed="false">
      <c r="A6" s="7" t="s">
        <v>33</v>
      </c>
      <c r="B6" s="7" t="s">
        <v>34</v>
      </c>
      <c r="C6" s="8" t="s">
        <v>35</v>
      </c>
      <c r="D6" s="8" t="s">
        <v>36</v>
      </c>
      <c r="E6" s="7"/>
      <c r="F6" s="7"/>
      <c r="G6" s="7"/>
      <c r="H6" s="8"/>
    </row>
    <row r="7" customFormat="false" ht="15" hidden="false" customHeight="false" outlineLevel="0" collapsed="false">
      <c r="A7" s="7" t="s">
        <v>37</v>
      </c>
      <c r="B7" s="7" t="s">
        <v>34</v>
      </c>
      <c r="C7" s="8" t="s">
        <v>38</v>
      </c>
      <c r="D7" s="8" t="s">
        <v>39</v>
      </c>
      <c r="E7" s="7"/>
      <c r="F7" s="7"/>
      <c r="G7" s="7"/>
      <c r="H7" s="8"/>
    </row>
    <row r="8" customFormat="false" ht="15" hidden="false" customHeight="false" outlineLevel="0" collapsed="false">
      <c r="A8" s="7" t="s">
        <v>40</v>
      </c>
      <c r="B8" s="7" t="s">
        <v>34</v>
      </c>
      <c r="C8" s="8" t="s">
        <v>41</v>
      </c>
      <c r="D8" s="8" t="s">
        <v>42</v>
      </c>
      <c r="E8" s="7"/>
      <c r="F8" s="7"/>
      <c r="G8" s="7"/>
      <c r="H8" s="8"/>
    </row>
    <row r="9" customFormat="false" ht="15" hidden="false" customHeight="false" outlineLevel="0" collapsed="false">
      <c r="A9" s="7" t="s">
        <v>43</v>
      </c>
      <c r="B9" s="7" t="s">
        <v>34</v>
      </c>
      <c r="C9" s="8" t="s">
        <v>44</v>
      </c>
      <c r="D9" s="8" t="s">
        <v>45</v>
      </c>
      <c r="E9" s="7"/>
      <c r="F9" s="7"/>
      <c r="G9" s="7"/>
      <c r="H9" s="8"/>
    </row>
    <row r="10" customFormat="false" ht="15" hidden="false" customHeight="false" outlineLevel="0" collapsed="false">
      <c r="A10" s="7" t="s">
        <v>46</v>
      </c>
      <c r="B10" s="7" t="s">
        <v>47</v>
      </c>
      <c r="C10" s="8" t="s">
        <v>48</v>
      </c>
      <c r="D10" s="8" t="s">
        <v>49</v>
      </c>
      <c r="E10" s="7"/>
      <c r="F10" s="7"/>
      <c r="G10" s="7"/>
      <c r="H10" s="8"/>
    </row>
    <row r="11" customFormat="false" ht="15" hidden="false" customHeight="false" outlineLevel="0" collapsed="false">
      <c r="A11" s="7" t="s">
        <v>50</v>
      </c>
      <c r="B11" s="7" t="s">
        <v>47</v>
      </c>
      <c r="C11" s="8" t="s">
        <v>51</v>
      </c>
      <c r="D11" s="8" t="s">
        <v>52</v>
      </c>
      <c r="E11" s="7"/>
      <c r="F11" s="7"/>
      <c r="G11" s="7"/>
      <c r="H11" s="8"/>
    </row>
    <row r="12" customFormat="false" ht="15" hidden="false" customHeight="false" outlineLevel="0" collapsed="false">
      <c r="A12" s="7" t="s">
        <v>53</v>
      </c>
      <c r="B12" s="7" t="s">
        <v>47</v>
      </c>
      <c r="C12" s="8" t="s">
        <v>54</v>
      </c>
      <c r="D12" s="8" t="s">
        <v>55</v>
      </c>
      <c r="E12" s="7"/>
      <c r="F12" s="7"/>
      <c r="G12" s="7"/>
      <c r="H12" s="8"/>
    </row>
    <row r="13" customFormat="false" ht="26.85" hidden="false" customHeight="false" outlineLevel="0" collapsed="false">
      <c r="A13" s="7" t="s">
        <v>56</v>
      </c>
      <c r="B13" s="7" t="s">
        <v>47</v>
      </c>
      <c r="C13" s="8" t="s">
        <v>57</v>
      </c>
      <c r="D13" s="8" t="s">
        <v>58</v>
      </c>
      <c r="E13" s="7"/>
      <c r="F13" s="7"/>
      <c r="G13" s="7"/>
      <c r="H13" s="8"/>
    </row>
    <row r="14" customFormat="false" ht="15" hidden="false" customHeight="false" outlineLevel="0" collapsed="false">
      <c r="A14" s="7" t="s">
        <v>59</v>
      </c>
      <c r="B14" s="7" t="s">
        <v>47</v>
      </c>
      <c r="C14" s="8" t="s">
        <v>60</v>
      </c>
      <c r="D14" s="8" t="s">
        <v>61</v>
      </c>
      <c r="E14" s="7"/>
      <c r="F14" s="7"/>
      <c r="G14" s="7"/>
      <c r="H14" s="8"/>
    </row>
    <row r="15" customFormat="false" ht="15" hidden="false" customHeight="false" outlineLevel="0" collapsed="false">
      <c r="A15" s="7" t="s">
        <v>62</v>
      </c>
      <c r="B15" s="7" t="s">
        <v>47</v>
      </c>
      <c r="C15" s="8" t="s">
        <v>63</v>
      </c>
      <c r="D15" s="8" t="s">
        <v>64</v>
      </c>
      <c r="E15" s="7"/>
      <c r="F15" s="7"/>
      <c r="G15" s="7"/>
      <c r="H15" s="8"/>
    </row>
    <row r="16" customFormat="false" ht="15" hidden="false" customHeight="false" outlineLevel="0" collapsed="false">
      <c r="A16" s="7" t="s">
        <v>65</v>
      </c>
      <c r="B16" s="7" t="s">
        <v>47</v>
      </c>
      <c r="C16" s="8" t="s">
        <v>66</v>
      </c>
      <c r="D16" s="8" t="s">
        <v>67</v>
      </c>
      <c r="E16" s="7"/>
      <c r="F16" s="7"/>
      <c r="G16" s="7"/>
      <c r="H16" s="8"/>
    </row>
    <row r="17" customFormat="false" ht="15" hidden="false" customHeight="false" outlineLevel="0" collapsed="false">
      <c r="A17" s="7" t="s">
        <v>68</v>
      </c>
      <c r="B17" s="7" t="s">
        <v>69</v>
      </c>
      <c r="C17" s="8" t="s">
        <v>70</v>
      </c>
      <c r="D17" s="8" t="s">
        <v>71</v>
      </c>
      <c r="E17" s="7"/>
      <c r="F17" s="7"/>
      <c r="G17" s="7"/>
      <c r="H17" s="8"/>
    </row>
    <row r="18" customFormat="false" ht="15" hidden="false" customHeight="false" outlineLevel="0" collapsed="false">
      <c r="A18" s="7" t="s">
        <v>72</v>
      </c>
      <c r="B18" s="7" t="s">
        <v>69</v>
      </c>
      <c r="C18" s="8" t="s">
        <v>73</v>
      </c>
      <c r="D18" s="8" t="s">
        <v>74</v>
      </c>
      <c r="E18" s="7"/>
      <c r="F18" s="7"/>
      <c r="G18" s="7"/>
      <c r="H18" s="8"/>
    </row>
    <row r="19" customFormat="false" ht="15" hidden="false" customHeight="false" outlineLevel="0" collapsed="false">
      <c r="A19" s="7" t="s">
        <v>75</v>
      </c>
      <c r="B19" s="7" t="s">
        <v>69</v>
      </c>
      <c r="C19" s="8" t="s">
        <v>76</v>
      </c>
      <c r="D19" s="8" t="s">
        <v>77</v>
      </c>
      <c r="E19" s="7"/>
      <c r="F19" s="7"/>
      <c r="G19" s="7"/>
      <c r="H19" s="8"/>
    </row>
    <row r="20" customFormat="false" ht="26.85" hidden="false" customHeight="false" outlineLevel="0" collapsed="false">
      <c r="A20" s="7" t="s">
        <v>78</v>
      </c>
      <c r="B20" s="7" t="s">
        <v>69</v>
      </c>
      <c r="C20" s="8" t="s">
        <v>79</v>
      </c>
      <c r="D20" s="8" t="s">
        <v>80</v>
      </c>
      <c r="E20" s="7"/>
      <c r="F20" s="7"/>
      <c r="G20" s="7"/>
      <c r="H20" s="8"/>
    </row>
    <row r="21" customFormat="false" ht="15" hidden="false" customHeight="false" outlineLevel="0" collapsed="false">
      <c r="A21" s="7" t="s">
        <v>81</v>
      </c>
      <c r="B21" s="7" t="s">
        <v>69</v>
      </c>
      <c r="C21" s="8" t="s">
        <v>82</v>
      </c>
      <c r="D21" s="8" t="s">
        <v>83</v>
      </c>
      <c r="E21" s="7"/>
      <c r="F21" s="7"/>
      <c r="G21" s="7"/>
      <c r="H21" s="8"/>
    </row>
    <row r="22" customFormat="false" ht="15" hidden="false" customHeight="false" outlineLevel="0" collapsed="false">
      <c r="A22" s="7" t="s">
        <v>84</v>
      </c>
      <c r="B22" s="7" t="s">
        <v>85</v>
      </c>
      <c r="C22" s="8" t="s">
        <v>86</v>
      </c>
      <c r="D22" s="8" t="s">
        <v>87</v>
      </c>
      <c r="E22" s="7"/>
      <c r="F22" s="7"/>
      <c r="G22" s="7"/>
      <c r="H22" s="8"/>
    </row>
    <row r="23" customFormat="false" ht="15" hidden="false" customHeight="false" outlineLevel="0" collapsed="false">
      <c r="A23" s="7" t="s">
        <v>88</v>
      </c>
      <c r="B23" s="7" t="s">
        <v>85</v>
      </c>
      <c r="C23" s="8" t="s">
        <v>89</v>
      </c>
      <c r="D23" s="8" t="s">
        <v>90</v>
      </c>
      <c r="E23" s="7"/>
      <c r="F23" s="7"/>
      <c r="G23" s="7"/>
      <c r="H23" s="8"/>
    </row>
    <row r="24" customFormat="false" ht="15" hidden="false" customHeight="false" outlineLevel="0" collapsed="false">
      <c r="A24" s="7" t="s">
        <v>91</v>
      </c>
      <c r="B24" s="7" t="s">
        <v>85</v>
      </c>
      <c r="C24" s="8" t="s">
        <v>92</v>
      </c>
      <c r="D24" s="8" t="s">
        <v>93</v>
      </c>
      <c r="E24" s="7"/>
      <c r="F24" s="7"/>
      <c r="G24" s="7"/>
      <c r="H24" s="8"/>
    </row>
    <row r="25" customFormat="false" ht="15" hidden="false" customHeight="false" outlineLevel="0" collapsed="false">
      <c r="A25" s="7" t="s">
        <v>94</v>
      </c>
      <c r="B25" s="7" t="s">
        <v>85</v>
      </c>
      <c r="C25" s="8" t="s">
        <v>95</v>
      </c>
      <c r="D25" s="8" t="s">
        <v>96</v>
      </c>
      <c r="E25" s="7"/>
      <c r="F25" s="7"/>
      <c r="G25" s="7"/>
      <c r="H25" s="8"/>
    </row>
    <row r="26" customFormat="false" ht="15" hidden="false" customHeight="false" outlineLevel="0" collapsed="false">
      <c r="A26" s="7" t="s">
        <v>97</v>
      </c>
      <c r="B26" s="7" t="s">
        <v>85</v>
      </c>
      <c r="C26" s="8" t="s">
        <v>98</v>
      </c>
      <c r="D26" s="8" t="s">
        <v>99</v>
      </c>
      <c r="E26" s="7"/>
      <c r="F26" s="7"/>
      <c r="G26" s="7"/>
      <c r="H26" s="8"/>
    </row>
    <row r="27" customFormat="false" ht="15" hidden="false" customHeight="false" outlineLevel="0" collapsed="false">
      <c r="A27" s="7" t="s">
        <v>100</v>
      </c>
      <c r="B27" s="7" t="s">
        <v>85</v>
      </c>
      <c r="C27" s="8" t="s">
        <v>101</v>
      </c>
      <c r="D27" s="8" t="s">
        <v>102</v>
      </c>
      <c r="E27" s="7"/>
      <c r="F27" s="7"/>
      <c r="G27" s="7"/>
      <c r="H27" s="8"/>
    </row>
    <row r="28" customFormat="false" ht="15" hidden="false" customHeight="false" outlineLevel="0" collapsed="false">
      <c r="A28" s="7" t="s">
        <v>103</v>
      </c>
      <c r="B28" s="7" t="s">
        <v>85</v>
      </c>
      <c r="C28" s="8" t="s">
        <v>104</v>
      </c>
      <c r="D28" s="8" t="s">
        <v>105</v>
      </c>
      <c r="E28" s="7"/>
      <c r="F28" s="7"/>
      <c r="G28" s="7"/>
      <c r="H28" s="8"/>
    </row>
    <row r="29" customFormat="false" ht="15" hidden="false" customHeight="false" outlineLevel="0" collapsed="false">
      <c r="A29" s="7" t="s">
        <v>106</v>
      </c>
      <c r="B29" s="7" t="s">
        <v>85</v>
      </c>
      <c r="C29" s="8" t="s">
        <v>107</v>
      </c>
      <c r="D29" s="8" t="s">
        <v>108</v>
      </c>
      <c r="E29" s="7"/>
      <c r="F29" s="7"/>
      <c r="G29" s="7"/>
      <c r="H29" s="8"/>
    </row>
    <row r="30" customFormat="false" ht="15" hidden="false" customHeight="false" outlineLevel="0" collapsed="false">
      <c r="A30" s="7" t="s">
        <v>109</v>
      </c>
      <c r="B30" s="7" t="s">
        <v>85</v>
      </c>
      <c r="C30" s="8" t="s">
        <v>110</v>
      </c>
      <c r="D30" s="8" t="s">
        <v>111</v>
      </c>
      <c r="E30" s="7"/>
      <c r="F30" s="7"/>
      <c r="G30" s="7"/>
      <c r="H30" s="8"/>
    </row>
    <row r="31" customFormat="false" ht="26.85" hidden="false" customHeight="false" outlineLevel="0" collapsed="false">
      <c r="A31" s="7" t="s">
        <v>112</v>
      </c>
      <c r="B31" s="7" t="s">
        <v>85</v>
      </c>
      <c r="C31" s="8" t="s">
        <v>113</v>
      </c>
      <c r="D31" s="8" t="s">
        <v>114</v>
      </c>
      <c r="E31" s="7"/>
      <c r="F31" s="7"/>
      <c r="G31" s="7"/>
      <c r="H31" s="8"/>
    </row>
    <row r="32" customFormat="false" ht="26.85" hidden="false" customHeight="false" outlineLevel="0" collapsed="false">
      <c r="A32" s="7" t="s">
        <v>115</v>
      </c>
      <c r="B32" s="7" t="s">
        <v>85</v>
      </c>
      <c r="C32" s="8" t="s">
        <v>116</v>
      </c>
      <c r="D32" s="8" t="s">
        <v>117</v>
      </c>
      <c r="E32" s="7"/>
      <c r="F32" s="7"/>
      <c r="G32" s="7"/>
      <c r="H32" s="8"/>
    </row>
    <row r="33" customFormat="false" ht="15" hidden="false" customHeight="false" outlineLevel="0" collapsed="false">
      <c r="A33" s="7" t="s">
        <v>118</v>
      </c>
      <c r="B33" s="7" t="s">
        <v>85</v>
      </c>
      <c r="C33" s="8" t="s">
        <v>119</v>
      </c>
      <c r="D33" s="8" t="s">
        <v>120</v>
      </c>
      <c r="E33" s="7"/>
      <c r="F33" s="7"/>
      <c r="G33" s="7"/>
      <c r="H33" s="8"/>
    </row>
    <row r="34" customFormat="false" ht="15" hidden="false" customHeight="false" outlineLevel="0" collapsed="false">
      <c r="A34" s="7" t="s">
        <v>121</v>
      </c>
      <c r="B34" s="7" t="s">
        <v>85</v>
      </c>
      <c r="C34" s="8" t="s">
        <v>122</v>
      </c>
      <c r="D34" s="8" t="s">
        <v>123</v>
      </c>
      <c r="E34" s="7"/>
      <c r="F34" s="7"/>
      <c r="G34" s="7"/>
      <c r="H34" s="8"/>
    </row>
    <row r="35" customFormat="false" ht="26.85" hidden="false" customHeight="false" outlineLevel="0" collapsed="false">
      <c r="A35" s="7" t="s">
        <v>124</v>
      </c>
      <c r="B35" s="7" t="s">
        <v>85</v>
      </c>
      <c r="C35" s="8" t="s">
        <v>125</v>
      </c>
      <c r="D35" s="8" t="s">
        <v>126</v>
      </c>
      <c r="E35" s="7"/>
      <c r="F35" s="7"/>
      <c r="G35" s="7"/>
      <c r="H35" s="8"/>
    </row>
    <row r="36" customFormat="false" ht="39.55" hidden="false" customHeight="false" outlineLevel="0" collapsed="false">
      <c r="A36" s="7" t="s">
        <v>127</v>
      </c>
      <c r="B36" s="7" t="s">
        <v>85</v>
      </c>
      <c r="C36" s="8" t="s">
        <v>128</v>
      </c>
      <c r="D36" s="8" t="s">
        <v>129</v>
      </c>
      <c r="E36" s="7"/>
      <c r="F36" s="7"/>
      <c r="G36" s="7"/>
      <c r="H36" s="8"/>
    </row>
    <row r="37" customFormat="false" ht="15" hidden="false" customHeight="false" outlineLevel="0" collapsed="false">
      <c r="A37" s="7" t="s">
        <v>130</v>
      </c>
      <c r="B37" s="7" t="s">
        <v>85</v>
      </c>
      <c r="C37" s="8" t="s">
        <v>131</v>
      </c>
      <c r="D37" s="8" t="s">
        <v>132</v>
      </c>
      <c r="E37" s="7"/>
      <c r="F37" s="7"/>
      <c r="G37" s="7"/>
      <c r="H37" s="8"/>
    </row>
    <row r="38" customFormat="false" ht="26.85" hidden="false" customHeight="false" outlineLevel="0" collapsed="false">
      <c r="A38" s="7" t="s">
        <v>133</v>
      </c>
      <c r="B38" s="7" t="s">
        <v>85</v>
      </c>
      <c r="C38" s="8" t="s">
        <v>134</v>
      </c>
      <c r="D38" s="8" t="s">
        <v>135</v>
      </c>
      <c r="E38" s="7"/>
      <c r="F38" s="7"/>
      <c r="G38" s="7"/>
      <c r="H38" s="8"/>
    </row>
    <row r="39" customFormat="false" ht="15" hidden="false" customHeight="false" outlineLevel="0" collapsed="false">
      <c r="A39" s="7" t="s">
        <v>136</v>
      </c>
      <c r="B39" s="7" t="s">
        <v>137</v>
      </c>
      <c r="C39" s="8" t="s">
        <v>138</v>
      </c>
      <c r="D39" s="8" t="s">
        <v>139</v>
      </c>
      <c r="E39" s="7"/>
      <c r="F39" s="7"/>
      <c r="G39" s="7"/>
      <c r="H39" s="8"/>
    </row>
    <row r="40" customFormat="false" ht="15" hidden="false" customHeight="false" outlineLevel="0" collapsed="false">
      <c r="A40" s="7" t="s">
        <v>140</v>
      </c>
      <c r="B40" s="7" t="s">
        <v>137</v>
      </c>
      <c r="C40" s="8" t="s">
        <v>141</v>
      </c>
      <c r="D40" s="8" t="s">
        <v>142</v>
      </c>
      <c r="E40" s="7"/>
      <c r="F40" s="7"/>
      <c r="G40" s="7"/>
      <c r="H40" s="8"/>
    </row>
    <row r="41" customFormat="false" ht="15" hidden="false" customHeight="false" outlineLevel="0" collapsed="false">
      <c r="A41" s="7" t="s">
        <v>143</v>
      </c>
      <c r="B41" s="7" t="s">
        <v>137</v>
      </c>
      <c r="C41" s="8" t="s">
        <v>144</v>
      </c>
      <c r="D41" s="8" t="s">
        <v>145</v>
      </c>
      <c r="E41" s="7"/>
      <c r="F41" s="7"/>
      <c r="G41" s="7"/>
      <c r="H41" s="8"/>
    </row>
    <row r="42" customFormat="false" ht="15" hidden="false" customHeight="false" outlineLevel="0" collapsed="false">
      <c r="A42" s="7" t="s">
        <v>146</v>
      </c>
      <c r="B42" s="7" t="s">
        <v>137</v>
      </c>
      <c r="C42" s="8" t="s">
        <v>147</v>
      </c>
      <c r="D42" s="8" t="s">
        <v>148</v>
      </c>
      <c r="E42" s="7"/>
      <c r="F42" s="7"/>
      <c r="G42" s="7"/>
      <c r="H42" s="8"/>
    </row>
    <row r="43" customFormat="false" ht="15" hidden="false" customHeight="false" outlineLevel="0" collapsed="false">
      <c r="A43" s="7" t="s">
        <v>149</v>
      </c>
      <c r="B43" s="7" t="s">
        <v>137</v>
      </c>
      <c r="C43" s="8" t="s">
        <v>150</v>
      </c>
      <c r="D43" s="8" t="s">
        <v>151</v>
      </c>
      <c r="E43" s="7"/>
      <c r="F43" s="7"/>
      <c r="G43" s="7"/>
      <c r="H43" s="8"/>
    </row>
    <row r="44" customFormat="false" ht="15" hidden="false" customHeight="false" outlineLevel="0" collapsed="false">
      <c r="A44" s="7" t="s">
        <v>152</v>
      </c>
      <c r="B44" s="7" t="s">
        <v>137</v>
      </c>
      <c r="C44" s="8" t="s">
        <v>153</v>
      </c>
      <c r="D44" s="8" t="s">
        <v>154</v>
      </c>
      <c r="E44" s="7"/>
      <c r="F44" s="7"/>
      <c r="G44" s="7"/>
      <c r="H44" s="8"/>
    </row>
    <row r="45" customFormat="false" ht="26.85" hidden="false" customHeight="false" outlineLevel="0" collapsed="false">
      <c r="A45" s="7" t="s">
        <v>155</v>
      </c>
      <c r="B45" s="7" t="s">
        <v>137</v>
      </c>
      <c r="C45" s="8" t="s">
        <v>156</v>
      </c>
      <c r="D45" s="8" t="s">
        <v>157</v>
      </c>
      <c r="E45" s="7"/>
      <c r="F45" s="7"/>
      <c r="G45" s="7"/>
      <c r="H45" s="8"/>
    </row>
    <row r="46" customFormat="false" ht="15" hidden="false" customHeight="false" outlineLevel="0" collapsed="false">
      <c r="A46" s="7" t="s">
        <v>158</v>
      </c>
      <c r="B46" s="7" t="s">
        <v>159</v>
      </c>
      <c r="C46" s="8" t="s">
        <v>160</v>
      </c>
      <c r="D46" s="8" t="s">
        <v>161</v>
      </c>
      <c r="E46" s="7"/>
      <c r="F46" s="7"/>
      <c r="G46" s="7"/>
      <c r="H46" s="8"/>
    </row>
    <row r="47" customFormat="false" ht="15" hidden="false" customHeight="false" outlineLevel="0" collapsed="false">
      <c r="A47" s="7" t="s">
        <v>162</v>
      </c>
      <c r="B47" s="7" t="s">
        <v>159</v>
      </c>
      <c r="C47" s="8" t="s">
        <v>163</v>
      </c>
      <c r="D47" s="8" t="s">
        <v>164</v>
      </c>
      <c r="E47" s="7"/>
      <c r="F47" s="7"/>
      <c r="G47" s="7"/>
      <c r="H47" s="8"/>
    </row>
    <row r="48" customFormat="false" ht="15" hidden="false" customHeight="false" outlineLevel="0" collapsed="false">
      <c r="A48" s="7" t="s">
        <v>165</v>
      </c>
      <c r="B48" s="7" t="s">
        <v>159</v>
      </c>
      <c r="C48" s="8" t="s">
        <v>166</v>
      </c>
      <c r="D48" s="8" t="s">
        <v>167</v>
      </c>
      <c r="E48" s="7"/>
      <c r="F48" s="7"/>
      <c r="G48" s="7"/>
      <c r="H48" s="8"/>
    </row>
    <row r="49" customFormat="false" ht="15" hidden="false" customHeight="false" outlineLevel="0" collapsed="false">
      <c r="A49" s="7" t="s">
        <v>168</v>
      </c>
      <c r="B49" s="7" t="s">
        <v>159</v>
      </c>
      <c r="C49" s="8" t="s">
        <v>169</v>
      </c>
      <c r="D49" s="8" t="s">
        <v>170</v>
      </c>
      <c r="E49" s="7"/>
      <c r="F49" s="7"/>
      <c r="G49" s="7"/>
      <c r="H49" s="8"/>
    </row>
    <row r="50" customFormat="false" ht="15" hidden="false" customHeight="false" outlineLevel="0" collapsed="false">
      <c r="A50" s="7" t="s">
        <v>171</v>
      </c>
      <c r="B50" s="7" t="s">
        <v>172</v>
      </c>
      <c r="C50" s="8" t="s">
        <v>173</v>
      </c>
      <c r="D50" s="8" t="s">
        <v>174</v>
      </c>
      <c r="E50" s="7"/>
      <c r="F50" s="7"/>
      <c r="G50" s="7"/>
      <c r="H50" s="8"/>
    </row>
    <row r="51" customFormat="false" ht="15" hidden="false" customHeight="false" outlineLevel="0" collapsed="false">
      <c r="A51" s="7" t="s">
        <v>175</v>
      </c>
      <c r="B51" s="7" t="s">
        <v>172</v>
      </c>
      <c r="C51" s="8" t="s">
        <v>176</v>
      </c>
      <c r="D51" s="8" t="s">
        <v>177</v>
      </c>
      <c r="E51" s="7"/>
      <c r="F51" s="7"/>
      <c r="G51" s="7"/>
      <c r="H51" s="8"/>
    </row>
    <row r="52" customFormat="false" ht="15" hidden="false" customHeight="false" outlineLevel="0" collapsed="false">
      <c r="A52" s="7" t="s">
        <v>178</v>
      </c>
      <c r="B52" s="7" t="s">
        <v>172</v>
      </c>
      <c r="C52" s="8" t="s">
        <v>179</v>
      </c>
      <c r="D52" s="8" t="s">
        <v>180</v>
      </c>
      <c r="E52" s="7"/>
      <c r="F52" s="7"/>
      <c r="G52" s="7"/>
      <c r="H52" s="8"/>
    </row>
    <row r="53" customFormat="false" ht="15" hidden="false" customHeight="false" outlineLevel="0" collapsed="false">
      <c r="A53" s="7" t="s">
        <v>181</v>
      </c>
      <c r="B53" s="7" t="s">
        <v>172</v>
      </c>
      <c r="C53" s="8" t="s">
        <v>182</v>
      </c>
      <c r="D53" s="8" t="s">
        <v>183</v>
      </c>
      <c r="E53" s="7"/>
      <c r="F53" s="7"/>
      <c r="G53" s="7"/>
      <c r="H53" s="8"/>
    </row>
    <row r="54" customFormat="false" ht="26.85" hidden="false" customHeight="false" outlineLevel="0" collapsed="false">
      <c r="A54" s="7" t="s">
        <v>184</v>
      </c>
      <c r="B54" s="7" t="s">
        <v>172</v>
      </c>
      <c r="C54" s="8" t="s">
        <v>185</v>
      </c>
      <c r="D54" s="8" t="s">
        <v>186</v>
      </c>
      <c r="E54" s="7"/>
      <c r="F54" s="7"/>
      <c r="G54" s="7"/>
      <c r="H54" s="8"/>
    </row>
    <row r="55" customFormat="false" ht="15" hidden="false" customHeight="false" outlineLevel="0" collapsed="false">
      <c r="A55" s="7" t="s">
        <v>187</v>
      </c>
      <c r="B55" s="7" t="s">
        <v>188</v>
      </c>
      <c r="C55" s="8" t="s">
        <v>189</v>
      </c>
      <c r="D55" s="8" t="s">
        <v>190</v>
      </c>
      <c r="E55" s="7"/>
      <c r="F55" s="7"/>
      <c r="G55" s="7"/>
      <c r="H55" s="8"/>
    </row>
    <row r="56" customFormat="false" ht="15" hidden="false" customHeight="false" outlineLevel="0" collapsed="false">
      <c r="A56" s="7" t="s">
        <v>191</v>
      </c>
      <c r="B56" s="7" t="s">
        <v>188</v>
      </c>
      <c r="C56" s="8" t="s">
        <v>192</v>
      </c>
      <c r="D56" s="8" t="s">
        <v>193</v>
      </c>
      <c r="E56" s="7"/>
      <c r="F56" s="7"/>
      <c r="G56" s="7"/>
      <c r="H56" s="8"/>
    </row>
    <row r="57" customFormat="false" ht="15" hidden="false" customHeight="false" outlineLevel="0" collapsed="false">
      <c r="A57" s="7" t="s">
        <v>194</v>
      </c>
      <c r="B57" s="7" t="s">
        <v>188</v>
      </c>
      <c r="C57" s="8" t="s">
        <v>195</v>
      </c>
      <c r="D57" s="8" t="s">
        <v>196</v>
      </c>
      <c r="E57" s="7"/>
      <c r="F57" s="7"/>
      <c r="G57" s="7"/>
      <c r="H57" s="8"/>
    </row>
    <row r="58" customFormat="false" ht="15" hidden="false" customHeight="false" outlineLevel="0" collapsed="false">
      <c r="A58" s="7" t="s">
        <v>197</v>
      </c>
      <c r="B58" s="7" t="s">
        <v>188</v>
      </c>
      <c r="C58" s="8" t="s">
        <v>198</v>
      </c>
      <c r="D58" s="8" t="s">
        <v>199</v>
      </c>
      <c r="E58" s="7"/>
      <c r="F58" s="7"/>
      <c r="G58" s="7"/>
      <c r="H58" s="8"/>
    </row>
    <row r="59" customFormat="false" ht="15" hidden="false" customHeight="false" outlineLevel="0" collapsed="false">
      <c r="A59" s="7" t="s">
        <v>200</v>
      </c>
      <c r="B59" s="7" t="s">
        <v>201</v>
      </c>
      <c r="C59" s="8" t="s">
        <v>202</v>
      </c>
      <c r="D59" s="8" t="s">
        <v>203</v>
      </c>
      <c r="E59" s="7"/>
      <c r="F59" s="7"/>
      <c r="G59" s="7"/>
      <c r="H59" s="8"/>
    </row>
    <row r="60" customFormat="false" ht="26.85" hidden="false" customHeight="false" outlineLevel="0" collapsed="false">
      <c r="A60" s="7" t="s">
        <v>204</v>
      </c>
      <c r="B60" s="7" t="s">
        <v>201</v>
      </c>
      <c r="C60" s="8" t="s">
        <v>205</v>
      </c>
      <c r="D60" s="8" t="s">
        <v>206</v>
      </c>
      <c r="E60" s="7"/>
      <c r="F60" s="7"/>
      <c r="G60" s="7"/>
      <c r="H60" s="8"/>
    </row>
    <row r="61" customFormat="false" ht="15" hidden="false" customHeight="false" outlineLevel="0" collapsed="false">
      <c r="A61" s="7" t="s">
        <v>207</v>
      </c>
      <c r="B61" s="7" t="s">
        <v>201</v>
      </c>
      <c r="C61" s="8" t="s">
        <v>208</v>
      </c>
      <c r="D61" s="8" t="s">
        <v>209</v>
      </c>
      <c r="E61" s="7"/>
      <c r="F61" s="7"/>
      <c r="G61" s="7"/>
      <c r="H61" s="8"/>
    </row>
    <row r="62" customFormat="false" ht="15" hidden="false" customHeight="false" outlineLevel="0" collapsed="false">
      <c r="A62" s="7" t="s">
        <v>210</v>
      </c>
      <c r="B62" s="7" t="s">
        <v>201</v>
      </c>
      <c r="C62" s="8" t="s">
        <v>211</v>
      </c>
      <c r="D62" s="8" t="s">
        <v>212</v>
      </c>
      <c r="E62" s="7"/>
      <c r="F62" s="7"/>
      <c r="G62" s="7"/>
      <c r="H62" s="8"/>
    </row>
    <row r="63" customFormat="false" ht="26.85" hidden="false" customHeight="false" outlineLevel="0" collapsed="false">
      <c r="A63" s="7" t="s">
        <v>213</v>
      </c>
      <c r="B63" s="7" t="s">
        <v>201</v>
      </c>
      <c r="C63" s="8" t="s">
        <v>214</v>
      </c>
      <c r="D63" s="8" t="s">
        <v>215</v>
      </c>
      <c r="E63" s="7"/>
      <c r="F63" s="7"/>
      <c r="G63" s="7"/>
      <c r="H63" s="8"/>
    </row>
    <row r="64" customFormat="false" ht="15" hidden="false" customHeight="false" outlineLevel="0" collapsed="false">
      <c r="A64" s="7" t="s">
        <v>216</v>
      </c>
      <c r="B64" s="7" t="s">
        <v>201</v>
      </c>
      <c r="C64" s="8" t="s">
        <v>217</v>
      </c>
      <c r="D64" s="8" t="s">
        <v>218</v>
      </c>
      <c r="E64" s="7"/>
      <c r="F64" s="7"/>
      <c r="G64" s="7"/>
      <c r="H64" s="8"/>
    </row>
    <row r="65" customFormat="false" ht="26.85" hidden="false" customHeight="false" outlineLevel="0" collapsed="false">
      <c r="A65" s="7" t="s">
        <v>219</v>
      </c>
      <c r="B65" s="7" t="s">
        <v>201</v>
      </c>
      <c r="C65" s="8" t="s">
        <v>220</v>
      </c>
      <c r="D65" s="8" t="s">
        <v>221</v>
      </c>
      <c r="E65" s="7"/>
      <c r="F65" s="7"/>
      <c r="G65" s="7"/>
      <c r="H65" s="8"/>
    </row>
    <row r="66" customFormat="false" ht="15" hidden="false" customHeight="false" outlineLevel="0" collapsed="false">
      <c r="A66" s="7" t="s">
        <v>222</v>
      </c>
      <c r="B66" s="7" t="s">
        <v>201</v>
      </c>
      <c r="C66" s="8" t="s">
        <v>223</v>
      </c>
      <c r="D66" s="8" t="s">
        <v>224</v>
      </c>
      <c r="E66" s="7"/>
      <c r="F66" s="7"/>
      <c r="G66" s="7"/>
      <c r="H66" s="8"/>
    </row>
    <row r="67" customFormat="false" ht="15" hidden="false" customHeight="false" outlineLevel="0" collapsed="false">
      <c r="A67" s="7" t="s">
        <v>225</v>
      </c>
      <c r="B67" s="7" t="s">
        <v>226</v>
      </c>
      <c r="C67" s="8" t="s">
        <v>227</v>
      </c>
      <c r="D67" s="8" t="s">
        <v>228</v>
      </c>
      <c r="E67" s="7"/>
      <c r="F67" s="7"/>
      <c r="G67" s="7"/>
      <c r="H67" s="8"/>
    </row>
    <row r="68" customFormat="false" ht="15" hidden="false" customHeight="false" outlineLevel="0" collapsed="false">
      <c r="A68" s="7" t="s">
        <v>229</v>
      </c>
      <c r="B68" s="7" t="s">
        <v>226</v>
      </c>
      <c r="C68" s="8" t="s">
        <v>230</v>
      </c>
      <c r="D68" s="8" t="s">
        <v>231</v>
      </c>
      <c r="E68" s="7"/>
      <c r="F68" s="7"/>
      <c r="G68" s="7"/>
      <c r="H68" s="8"/>
    </row>
    <row r="69" customFormat="false" ht="15" hidden="false" customHeight="false" outlineLevel="0" collapsed="false">
      <c r="A69" s="7" t="s">
        <v>232</v>
      </c>
      <c r="B69" s="7" t="s">
        <v>226</v>
      </c>
      <c r="C69" s="8" t="s">
        <v>233</v>
      </c>
      <c r="D69" s="8" t="s">
        <v>234</v>
      </c>
      <c r="E69" s="7"/>
      <c r="F69" s="7"/>
      <c r="G69" s="7"/>
      <c r="H69" s="8"/>
    </row>
    <row r="70" customFormat="false" ht="15" hidden="false" customHeight="false" outlineLevel="0" collapsed="false">
      <c r="A70" s="7" t="s">
        <v>235</v>
      </c>
      <c r="B70" s="7" t="s">
        <v>226</v>
      </c>
      <c r="C70" s="8" t="s">
        <v>236</v>
      </c>
      <c r="D70" s="8" t="s">
        <v>237</v>
      </c>
      <c r="E70" s="7"/>
      <c r="F70" s="7"/>
      <c r="G70" s="7"/>
      <c r="H70" s="8"/>
    </row>
    <row r="71" customFormat="false" ht="15" hidden="false" customHeight="false" outlineLevel="0" collapsed="false">
      <c r="A71" s="7" t="s">
        <v>238</v>
      </c>
      <c r="B71" s="7" t="s">
        <v>226</v>
      </c>
      <c r="C71" s="8" t="s">
        <v>239</v>
      </c>
      <c r="D71" s="8" t="s">
        <v>240</v>
      </c>
      <c r="E71" s="7"/>
      <c r="F71" s="7"/>
      <c r="G71" s="7"/>
      <c r="H71" s="8"/>
    </row>
    <row r="72" customFormat="false" ht="15" hidden="false" customHeight="false" outlineLevel="0" collapsed="false">
      <c r="A72" s="7" t="s">
        <v>241</v>
      </c>
      <c r="B72" s="7" t="s">
        <v>226</v>
      </c>
      <c r="C72" s="8" t="s">
        <v>242</v>
      </c>
      <c r="D72" s="8" t="s">
        <v>243</v>
      </c>
      <c r="E72" s="7"/>
      <c r="F72" s="7"/>
      <c r="G72" s="7"/>
      <c r="H72" s="8"/>
    </row>
    <row r="73" customFormat="false" ht="15" hidden="false" customHeight="false" outlineLevel="0" collapsed="false">
      <c r="A73" s="7" t="s">
        <v>244</v>
      </c>
      <c r="B73" s="7" t="s">
        <v>226</v>
      </c>
      <c r="C73" s="8" t="s">
        <v>245</v>
      </c>
      <c r="D73" s="8" t="s">
        <v>246</v>
      </c>
      <c r="E73" s="7"/>
      <c r="F73" s="7"/>
      <c r="G73" s="7"/>
      <c r="H73" s="8"/>
    </row>
    <row r="74" customFormat="false" ht="15" hidden="false" customHeight="false" outlineLevel="0" collapsed="false">
      <c r="A74" s="7" t="s">
        <v>247</v>
      </c>
      <c r="B74" s="7" t="s">
        <v>226</v>
      </c>
      <c r="C74" s="8" t="s">
        <v>248</v>
      </c>
      <c r="D74" s="8" t="s">
        <v>249</v>
      </c>
      <c r="E74" s="7"/>
      <c r="F74" s="7"/>
      <c r="G74" s="7"/>
      <c r="H74" s="8"/>
    </row>
    <row r="75" customFormat="false" ht="15" hidden="false" customHeight="false" outlineLevel="0" collapsed="false">
      <c r="A75" s="7" t="s">
        <v>250</v>
      </c>
      <c r="B75" s="7" t="s">
        <v>226</v>
      </c>
      <c r="C75" s="8" t="s">
        <v>251</v>
      </c>
      <c r="D75" s="8" t="s">
        <v>252</v>
      </c>
      <c r="E75" s="7"/>
      <c r="F75" s="7"/>
      <c r="G75" s="7"/>
      <c r="H75" s="8"/>
    </row>
    <row r="76" customFormat="false" ht="15" hidden="false" customHeight="false" outlineLevel="0" collapsed="false">
      <c r="A76" s="7" t="s">
        <v>253</v>
      </c>
      <c r="B76" s="7" t="s">
        <v>254</v>
      </c>
      <c r="C76" s="8" t="s">
        <v>255</v>
      </c>
      <c r="D76" s="8" t="s">
        <v>256</v>
      </c>
      <c r="E76" s="7"/>
      <c r="F76" s="7"/>
      <c r="G76" s="7"/>
      <c r="H76" s="8"/>
    </row>
    <row r="77" customFormat="false" ht="15" hidden="false" customHeight="false" outlineLevel="0" collapsed="false">
      <c r="A77" s="7" t="s">
        <v>257</v>
      </c>
      <c r="B77" s="7" t="s">
        <v>254</v>
      </c>
      <c r="C77" s="8" t="s">
        <v>258</v>
      </c>
      <c r="D77" s="8" t="s">
        <v>259</v>
      </c>
      <c r="E77" s="7"/>
      <c r="F77" s="7"/>
      <c r="G77" s="7"/>
      <c r="H77" s="8"/>
    </row>
    <row r="78" customFormat="false" ht="15" hidden="false" customHeight="false" outlineLevel="0" collapsed="false">
      <c r="A78" s="7" t="s">
        <v>260</v>
      </c>
      <c r="B78" s="7" t="s">
        <v>254</v>
      </c>
      <c r="C78" s="8" t="s">
        <v>261</v>
      </c>
      <c r="D78" s="8" t="s">
        <v>262</v>
      </c>
      <c r="E78" s="7"/>
      <c r="F78" s="7"/>
      <c r="G78" s="7"/>
      <c r="H78" s="8"/>
    </row>
    <row r="79" customFormat="false" ht="15" hidden="false" customHeight="false" outlineLevel="0" collapsed="false">
      <c r="A79" s="7" t="s">
        <v>263</v>
      </c>
      <c r="B79" s="7" t="s">
        <v>264</v>
      </c>
      <c r="C79" s="8" t="s">
        <v>265</v>
      </c>
      <c r="D79" s="8" t="s">
        <v>266</v>
      </c>
      <c r="E79" s="7"/>
      <c r="F79" s="7"/>
      <c r="G79" s="7"/>
      <c r="H79" s="8"/>
    </row>
    <row r="80" customFormat="false" ht="15" hidden="false" customHeight="false" outlineLevel="0" collapsed="false">
      <c r="A80" s="7" t="s">
        <v>267</v>
      </c>
      <c r="B80" s="7" t="s">
        <v>264</v>
      </c>
      <c r="C80" s="8" t="s">
        <v>268</v>
      </c>
      <c r="D80" s="8" t="s">
        <v>269</v>
      </c>
      <c r="E80" s="7"/>
      <c r="F80" s="7"/>
      <c r="G80" s="7"/>
      <c r="H80" s="8"/>
    </row>
    <row r="81" customFormat="false" ht="15" hidden="false" customHeight="false" outlineLevel="0" collapsed="false">
      <c r="A81" s="7" t="s">
        <v>270</v>
      </c>
      <c r="B81" s="7" t="s">
        <v>264</v>
      </c>
      <c r="C81" s="8" t="s">
        <v>271</v>
      </c>
      <c r="D81" s="8" t="s">
        <v>272</v>
      </c>
      <c r="E81" s="7"/>
      <c r="F81" s="7"/>
      <c r="G81" s="7"/>
      <c r="H81" s="8"/>
    </row>
    <row r="82" customFormat="false" ht="15" hidden="false" customHeight="false" outlineLevel="0" collapsed="false">
      <c r="A82" s="7" t="s">
        <v>273</v>
      </c>
      <c r="B82" s="7" t="s">
        <v>264</v>
      </c>
      <c r="C82" s="8" t="s">
        <v>274</v>
      </c>
      <c r="D82" s="8" t="s">
        <v>275</v>
      </c>
      <c r="E82" s="7"/>
      <c r="F82" s="7"/>
      <c r="G82" s="7"/>
      <c r="H82" s="8"/>
    </row>
    <row r="83" customFormat="false" ht="15" hidden="false" customHeight="false" outlineLevel="0" collapsed="false">
      <c r="A83" s="7" t="s">
        <v>276</v>
      </c>
      <c r="B83" s="7" t="s">
        <v>264</v>
      </c>
      <c r="C83" s="8" t="s">
        <v>277</v>
      </c>
      <c r="D83" s="8" t="s">
        <v>278</v>
      </c>
      <c r="E83" s="7"/>
      <c r="F83" s="7"/>
      <c r="G83" s="7"/>
      <c r="H83" s="8"/>
    </row>
    <row r="84" customFormat="false" ht="15" hidden="false" customHeight="false" outlineLevel="0" collapsed="false">
      <c r="A84" s="7" t="s">
        <v>279</v>
      </c>
      <c r="B84" s="7" t="s">
        <v>280</v>
      </c>
      <c r="C84" s="8" t="s">
        <v>281</v>
      </c>
      <c r="D84" s="8" t="s">
        <v>282</v>
      </c>
      <c r="E84" s="7"/>
      <c r="F84" s="7"/>
      <c r="G84" s="7"/>
      <c r="H84" s="8"/>
    </row>
    <row r="85" customFormat="false" ht="15" hidden="false" customHeight="false" outlineLevel="0" collapsed="false">
      <c r="A85" s="7" t="s">
        <v>283</v>
      </c>
      <c r="B85" s="7" t="s">
        <v>280</v>
      </c>
      <c r="C85" s="8" t="s">
        <v>284</v>
      </c>
      <c r="D85" s="8" t="s">
        <v>285</v>
      </c>
      <c r="E85" s="7"/>
      <c r="F85" s="7"/>
      <c r="G85" s="7"/>
      <c r="H85" s="8"/>
    </row>
    <row r="86" customFormat="false" ht="15" hidden="false" customHeight="false" outlineLevel="0" collapsed="false">
      <c r="A86" s="7" t="s">
        <v>286</v>
      </c>
      <c r="B86" s="7" t="s">
        <v>287</v>
      </c>
      <c r="C86" s="8" t="s">
        <v>288</v>
      </c>
      <c r="D86" s="8" t="s">
        <v>289</v>
      </c>
      <c r="E86" s="7"/>
      <c r="F86" s="7"/>
      <c r="G86" s="7"/>
      <c r="H86" s="8"/>
    </row>
    <row r="87" customFormat="false" ht="15" hidden="false" customHeight="false" outlineLevel="0" collapsed="false">
      <c r="A87" s="7" t="s">
        <v>290</v>
      </c>
      <c r="B87" s="7" t="s">
        <v>287</v>
      </c>
      <c r="C87" s="8" t="s">
        <v>291</v>
      </c>
      <c r="D87" s="8" t="s">
        <v>292</v>
      </c>
      <c r="E87" s="7"/>
      <c r="F87" s="7"/>
      <c r="G87" s="7"/>
      <c r="H87" s="8"/>
    </row>
    <row r="88" customFormat="false" ht="15" hidden="false" customHeight="false" outlineLevel="0" collapsed="false">
      <c r="A88" s="7" t="s">
        <v>293</v>
      </c>
      <c r="B88" s="7" t="s">
        <v>287</v>
      </c>
      <c r="C88" s="8" t="s">
        <v>294</v>
      </c>
      <c r="D88" s="8" t="s">
        <v>292</v>
      </c>
      <c r="E88" s="7"/>
      <c r="F88" s="7"/>
      <c r="G88" s="7"/>
      <c r="H88" s="8"/>
    </row>
    <row r="89" customFormat="false" ht="15" hidden="false" customHeight="false" outlineLevel="0" collapsed="false">
      <c r="A89" s="7" t="s">
        <v>295</v>
      </c>
      <c r="B89" s="7" t="s">
        <v>287</v>
      </c>
      <c r="C89" s="8" t="s">
        <v>296</v>
      </c>
      <c r="D89" s="8" t="s">
        <v>292</v>
      </c>
      <c r="E89" s="7"/>
      <c r="F89" s="7"/>
      <c r="G89" s="7"/>
      <c r="H89" s="8"/>
    </row>
    <row r="90" customFormat="false" ht="15" hidden="false" customHeight="false" outlineLevel="0" collapsed="false">
      <c r="A90" s="7" t="s">
        <v>297</v>
      </c>
      <c r="B90" s="7" t="s">
        <v>287</v>
      </c>
      <c r="C90" s="8" t="s">
        <v>298</v>
      </c>
      <c r="D90" s="8" t="s">
        <v>292</v>
      </c>
      <c r="E90" s="7"/>
      <c r="F90" s="7"/>
      <c r="G90" s="7"/>
      <c r="H90" s="8"/>
    </row>
  </sheetData>
  <autoFilter ref="A1:H90"/>
  <dataValidations count="1">
    <dataValidation allowBlank="true" errorStyle="stop" operator="between" showDropDown="false" showErrorMessage="false" showInputMessage="false" sqref="E2:E90" type="list">
      <formula1>"Pass,Fail,Blocked,N/A"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2026-06-17T12:03:20Z</dcterms:created>
  <dc:creator>openpyxl</dc:creator>
  <dc:description/>
  <dc:language>en-US</dc:language>
  <cp:lastModifiedBy/>
  <dcterms:modified xsi:type="dcterms:W3CDTF">2026-06-17T12:03:20Z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